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gl\inbox\"/>
    </mc:Choice>
  </mc:AlternateContent>
  <xr:revisionPtr revIDLastSave="0" documentId="13_ncr:1_{0265391E-7523-4801-ADE2-6E2666A69D7A}" xr6:coauthVersionLast="47" xr6:coauthVersionMax="47" xr10:uidLastSave="{00000000-0000-0000-0000-000000000000}"/>
  <bookViews>
    <workbookView xWindow="-28905" yWindow="0" windowWidth="16110" windowHeight="15585" xr2:uid="{2CAD8E70-93F2-4575-B5A0-CDB959727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E8" i="1"/>
  <c r="E14" i="1"/>
  <c r="E13" i="1"/>
  <c r="E11" i="1"/>
  <c r="F11" i="1" s="1"/>
  <c r="E12" i="1"/>
  <c r="E3" i="1" l="1"/>
  <c r="E7" i="1"/>
  <c r="E6" i="1"/>
  <c r="E5" i="1"/>
  <c r="E4" i="1"/>
  <c r="E2" i="1"/>
  <c r="G22" i="1" l="1" a="1"/>
  <c r="G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<sst xmlns="http://schemas.openxmlformats.org/spreadsheetml/2006/main" count="12" uniqueCount="11">
  <si>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N parallel eps</t>
  </si>
  <si>
    <t>time to train 2M steps (hours)</t>
  </si>
  <si>
    <t>RAM usage (GB) (small hallway w/ very limited obs)</t>
  </si>
  <si>
    <t>x</t>
  </si>
  <si>
    <t>Baseline RAM</t>
  </si>
  <si>
    <t>RAM Level (GB)</t>
  </si>
  <si>
    <t>Least-squares linear regression</t>
  </si>
  <si>
    <t>slope</t>
  </si>
  <si>
    <t>intercept</t>
  </si>
  <si>
    <t>projected based on linear regression model from below</t>
  </si>
  <si>
    <t xml:space="preserve">ez to run 3 in parallel on a single node w/ 128 GB RAM, plenty of overhead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</si>
</sst>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83006027632326E-2"/>
          <c:y val="1.5842481379321309E-2"/>
          <c:w val="0.87880810628799422"/>
          <c:h val="0.8404268873629212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Sheet1!$E$2:$E$8</c:f>
              <c:strCache>
                <c:ptCount val="7"/>
                <c:pt idx="0">
                  <c:v>2.41</c:v>
                </c:pt>
                <c:pt idx="1">
                  <c:v>5.75</c:v>
                </c:pt>
                <c:pt idx="2">
                  <c:v>10.15</c:v>
                </c:pt>
                <c:pt idx="3">
                  <c:v>22.54</c:v>
                </c:pt>
                <c:pt idx="4">
                  <c:v>43.14</c:v>
                </c:pt>
                <c:pt idx="5">
                  <c:v>63.6</c:v>
                </c:pt>
                <c:pt idx="6">
                  <c:v>85.13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numCache>
            </c:numRef>
          </c:xVal>
          <c:y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4-4637-A654-01D9530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75039"/>
        <c:axId val="1577970319"/>
      </c:scatterChart>
      <c:valAx>
        <c:axId val="157927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parallel 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70319"/>
        <c:crosses val="autoZero"/>
        <c:crossBetween val="midCat"/>
      </c:valAx>
      <c:valAx>
        <c:axId val="15779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RAM Usage (GB)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7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to train 2M steps (hours)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24</c:v>
                </c:pt>
                <c:pt idx="1">
                  <c:v>18</c:v>
                </c:pt>
                <c:pt idx="2">
                  <c:v>14.75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9-48D9-96CA-402863C8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816095"/>
        <c:axId val="1577984239"/>
      </c:scatterChart>
      <c:valAx>
        <c:axId val="167881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parallel 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84239"/>
        <c:crosses val="autoZero"/>
        <c:crossBetween val="midCat"/>
      </c:valAx>
      <c:valAx>
        <c:axId val="15779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1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487846</xdr:colOff>
      <xdr:row>17</xdr:row>
      <xdr:rowOff>109744</xdr:rowOff>
    </xdr:from>
    <xdr:to>
      <xdr:col>5</xdr:col>
      <xdr:colOff>21120</xdr:colOff>
      <xdr:row>40</xdr:row>
      <xdr:rowOff>131279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0D8C1-E6E5-41D0-A5E2-9B7FFEE2A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581025</xdr:colOff>
      <xdr:row>17</xdr:row>
      <xdr:rowOff>109536</xdr:rowOff>
    </xdr:from>
    <xdr:to>
      <xdr:col>22</xdr:col>
      <xdr:colOff>533401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D13CC-B8DF-F23D-77B0-79E6CA605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4CAA-1C73-46F7-BB68-0A0B0E126572}">
  <dimension ref="A1:H22"/>
  <sheetViews>
    <sheetView tabSelected="1" zoomScaleNormal="100" workbookViewId="0">
      <selection activeCell="E12" sqref="E12"/>
    </sheetView>
  </sheetViews>
  <sheetFormatPr defaultRowHeight="15" x14ac:dyDescent="0.25"/>
  <cols>
    <col min="1" max="1" width="13.42578125" bestFit="1" customWidth="1"/>
    <col min="2" max="2" width="27.28515625" bestFit="1" customWidth="1"/>
    <col min="3" max="3" width="47" bestFit="1" customWidth="1"/>
    <col min="4" max="5" width="12.710937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</row>
    <row r="2" spans="1:7" x14ac:dyDescent="0.25">
      <c r="A2">
        <v>1</v>
      </c>
      <c r="B2">
        <v>24</v>
      </c>
      <c r="C2">
        <v>3.9</v>
      </c>
      <c r="D2">
        <v>6.31</v>
      </c>
      <c r="E2">
        <f>D2-$C$2</f>
        <v>2.4099999999999997</v>
      </c>
    </row>
    <row r="3" spans="1:7" x14ac:dyDescent="0.25">
      <c r="A3">
        <v>5</v>
      </c>
      <c r="B3">
        <v>18</v>
      </c>
      <c r="C3">
        <v>3.9</v>
      </c>
      <c r="D3">
        <v>9.65</v>
      </c>
      <c r="E3">
        <f>D3-C3</f>
        <v>5.75</v>
      </c>
    </row>
    <row r="4" spans="1:7" x14ac:dyDescent="0.25">
      <c r="A4">
        <v>10</v>
      </c>
      <c r="B4">
        <v>14.75</v>
      </c>
      <c r="C4">
        <v>3.75</v>
      </c>
      <c r="D4">
        <v>13.9</v>
      </c>
      <c r="E4">
        <f>D4-C4</f>
        <v>10.15</v>
      </c>
    </row>
    <row r="5" spans="1:7" x14ac:dyDescent="0.25">
      <c r="A5">
        <v>25</v>
      </c>
      <c r="C5">
        <v>3.66</v>
      </c>
      <c r="D5">
        <v>26.2</v>
      </c>
      <c r="E5">
        <f>D5-C5</f>
        <v>22.54</v>
      </c>
    </row>
    <row r="6" spans="1:7" x14ac:dyDescent="0.25">
      <c r="A6">
        <v>50</v>
      </c>
      <c r="B6">
        <v>5</v>
      </c>
      <c r="C6">
        <v>3.66</v>
      </c>
      <c r="D6">
        <v>46.8</v>
      </c>
      <c r="E6">
        <f>D6-C6</f>
        <v>43.14</v>
      </c>
    </row>
    <row r="7" spans="1:7" x14ac:dyDescent="0.25">
      <c r="A7">
        <v>75</v>
      </c>
      <c r="C7">
        <v>3.7</v>
      </c>
      <c r="D7">
        <v>67.3</v>
      </c>
      <c r="E7">
        <f>D7-C7</f>
        <v>63.599999999999994</v>
      </c>
    </row>
    <row r="8" spans="1:7" x14ac:dyDescent="0.25">
      <c r="A8">
        <v>100</v>
      </c>
      <c r="C8">
        <v>3.77</v>
      </c>
      <c r="D8">
        <v>88.9</v>
      </c>
      <c r="E8">
        <f>D8-C8</f>
        <v>85.13000000000001</v>
      </c>
      <c r="F8">
        <f>E8*3</f>
        <v>255.39000000000004</v>
      </c>
    </row>
    <row r="10" spans="1:7" x14ac:dyDescent="0.25">
      <c r="E10" t="s">
        <v>9</v>
      </c>
    </row>
    <row r="11" spans="1:7" x14ac:dyDescent="0.25">
      <c r="A11">
        <v>40</v>
      </c>
      <c r="B11" t="s">
        <v>3</v>
      </c>
      <c r="E11">
        <f>A11*$G$22+$H$22</f>
        <v>34.909217935349332</v>
      </c>
      <c r="F11">
        <f>E11*3</f>
        <v>104.727653806048</v>
      </c>
      <c r="G11" t="s">
        <v>10</v>
      </c>
    </row>
    <row r="12" spans="1:7" x14ac:dyDescent="0.25">
      <c r="A12">
        <v>200</v>
      </c>
      <c r="B12" t="s">
        <v>3</v>
      </c>
      <c r="E12">
        <f>A12*$G$22+$H$22</f>
        <v>167.98950990615225</v>
      </c>
    </row>
    <row r="13" spans="1:7" x14ac:dyDescent="0.25">
      <c r="A13">
        <v>500</v>
      </c>
      <c r="E13">
        <f>A13*$G$22+$H$22</f>
        <v>417.51505735140779</v>
      </c>
    </row>
    <row r="14" spans="1:7" x14ac:dyDescent="0.25">
      <c r="A14">
        <v>550</v>
      </c>
      <c r="E14">
        <f>A14*$G$22+$H$22</f>
        <v>459.10264859228369</v>
      </c>
    </row>
    <row r="20" spans="7:8" x14ac:dyDescent="0.25">
      <c r="G20" t="s">
        <v>6</v>
      </c>
    </row>
    <row r="21" spans="7:8" x14ac:dyDescent="0.25">
      <c r="G21" t="s">
        <v>7</v>
      </c>
      <c r="H21" t="s">
        <v>8</v>
      </c>
    </row>
    <row r="22" spans="7:8" x14ac:dyDescent="0.25">
      <c r="G22" cm="1">
        <f t="array" ref="G22:H22">LINEST(E2:E8,A2:A8)</f>
        <v>0.8317518248175183</v>
      </c>
      <c r="H22">
        <v>1.6391449426485956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Heglund, Jaye</dc:creator>
  <cp:lastModifiedBy>Heglund, Jaye</cp:lastModifiedBy>
  <dcterms:created xsi:type="dcterms:W3CDTF">2026-09-30T16:01:01Z</dcterms:created>
  <dcterms:modified xsi:type="dcterms:W3CDTF">2026-09-30T17:35:04Z</dcterms:modified>
</cp:coreProperties>
</file>